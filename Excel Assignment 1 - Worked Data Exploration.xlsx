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<sst xmlns="http://schemas.openxmlformats.org/spreadsheetml/2006/main" count="192" uniqueCount="130">
  <si>
    <t>Product ID</t>
  </si>
  <si>
    <t>Day</t>
  </si>
  <si>
    <t>Country Code</t>
  </si>
  <si>
    <t>Month</t>
  </si>
  <si>
    <t>Product Name</t>
  </si>
  <si>
    <t>Brand Name</t>
  </si>
  <si>
    <t>Price ($)</t>
  </si>
  <si>
    <t>Quantity</t>
  </si>
  <si>
    <t>Category</t>
  </si>
  <si>
    <t>Price Range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</si>
  <si>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</si>
  <si>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</si>
  <si>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</si>
  <si>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</si>
  <si>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</si>
  <si>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</si>
  <si>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</si>
  <si>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</si>
  <si>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</si>
  <si>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</si>
  <si>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</si>
  <si>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</si>
  <si>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</si>
  <si>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</si>
  <si>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</si>
  <si>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</si>
  <si>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</si>
  <si>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</si>
  <si>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</si>
  <si>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</si>
  <si>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</si>
  <si>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</si>
  <si>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</si>
  <si>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</si>
  <si>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</si>
  <si>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</si>
  <si>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</si>
  <si>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</si>
  <si>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QUESTIONS AND ANSWERS</t>
  </si>
  <si>
    <t>05-SEP-UK</t>
  </si>
  <si>
    <t>Tablet</t>
  </si>
  <si>
    <t>Apple</t>
  </si>
  <si>
    <t>14-OCT-UK</t>
  </si>
  <si>
    <t>Hiking Boots</t>
  </si>
  <si>
    <t>Timberland</t>
  </si>
  <si>
    <t>1.SUM,COUNT AND AVERAGE</t>
  </si>
  <si>
    <t>17-JUN-IN</t>
  </si>
  <si>
    <t>HP</t>
  </si>
  <si>
    <t>FUNCTION</t>
  </si>
  <si>
    <t>PURPOSE</t>
  </si>
  <si>
    <t>RESULT</t>
  </si>
  <si>
    <t>25-NOV-AU</t>
  </si>
  <si>
    <t>SUM()</t>
  </si>
  <si>
    <t>Total price of all the products</t>
  </si>
  <si>
    <t>08-DEC-DE</t>
  </si>
  <si>
    <t>Nespresso</t>
  </si>
  <si>
    <t>COUNT()</t>
  </si>
  <si>
    <t>Count total products exist</t>
  </si>
  <si>
    <t>18-FEB-CA</t>
  </si>
  <si>
    <t>Smartwatch</t>
  </si>
  <si>
    <t>Fitbit</t>
  </si>
  <si>
    <t>AVERAGE()</t>
  </si>
  <si>
    <t>Average price of the product</t>
  </si>
  <si>
    <t>16-APR-ES</t>
  </si>
  <si>
    <t>Bose</t>
  </si>
  <si>
    <t>21-AUG-CA</t>
  </si>
  <si>
    <t>Laptop Bag</t>
  </si>
  <si>
    <t>Samsonite</t>
  </si>
  <si>
    <t>Accessories</t>
  </si>
  <si>
    <t>2.MINIMUM AND MAXIMUM</t>
  </si>
  <si>
    <t>20-AUG-CN</t>
  </si>
  <si>
    <t>Huawei</t>
  </si>
  <si>
    <t>27-JAN-IT</t>
  </si>
  <si>
    <t>Asus</t>
  </si>
  <si>
    <t>MINIMUM()</t>
  </si>
  <si>
    <t>Minimum price among all the products</t>
  </si>
  <si>
    <t>01-MAR-UK</t>
  </si>
  <si>
    <t>Sunglasses</t>
  </si>
  <si>
    <t>Oakley</t>
  </si>
  <si>
    <t>MAXIMUM()</t>
  </si>
  <si>
    <t>Maximum price among all the products</t>
  </si>
  <si>
    <t>14-AUG-US</t>
  </si>
  <si>
    <t>Camping Tent</t>
  </si>
  <si>
    <t>Coleman</t>
  </si>
  <si>
    <t>14-MAY-RU</t>
  </si>
  <si>
    <t>Camera</t>
  </si>
  <si>
    <t>Nikon</t>
  </si>
  <si>
    <t>3.LOGICAL FUNCTION IF</t>
  </si>
  <si>
    <t>09-JAN-CA</t>
  </si>
  <si>
    <t>Microwave</t>
  </si>
  <si>
    <t>Panasonic</t>
  </si>
  <si>
    <t>19-JUL-BR</t>
  </si>
  <si>
    <t>Fitness Tracker</t>
  </si>
  <si>
    <t>Xiaomi</t>
  </si>
  <si>
    <t>IF()</t>
  </si>
  <si>
    <t>Categorise products as high price based on values</t>
  </si>
  <si>
    <t>Categorise products as standard price based on values</t>
  </si>
  <si>
    <t>Standard price</t>
  </si>
  <si>
    <t>29-SEP-CA</t>
  </si>
  <si>
    <t>Google</t>
  </si>
  <si>
    <t>03-JUN-CA</t>
  </si>
  <si>
    <t>Ray-Ban</t>
  </si>
  <si>
    <t>4.CONDITIONAL FUNCTIONS-SUMIF AND COUNT IF</t>
  </si>
  <si>
    <t>11-JUL-CA</t>
  </si>
  <si>
    <t>Vitamix</t>
  </si>
  <si>
    <t>SUMIF()</t>
  </si>
  <si>
    <t>Tota price of products in electronic category</t>
  </si>
  <si>
    <t>07-MAR-CA</t>
  </si>
  <si>
    <t>Dress</t>
  </si>
  <si>
    <t>Zara</t>
  </si>
  <si>
    <t>COUNTIF()</t>
  </si>
  <si>
    <t>Number of products with price less than $1000</t>
  </si>
  <si>
    <t>13-APR-CA</t>
  </si>
  <si>
    <t>Toaster</t>
  </si>
  <si>
    <t>Hamilton</t>
  </si>
  <si>
    <t>24-MAY-CA</t>
  </si>
  <si>
    <t>Garmin</t>
  </si>
  <si>
    <t>TEXT FORMATING-LEFT,RIGHT AND MID</t>
  </si>
  <si>
    <t>02-DEC-CA</t>
  </si>
  <si>
    <t>Jeans</t>
  </si>
  <si>
    <t>Levi's</t>
  </si>
  <si>
    <t>LEFT()</t>
  </si>
  <si>
    <t>Create Day column using Left function</t>
  </si>
  <si>
    <t>09-JUL-FR</t>
  </si>
  <si>
    <t>Watch</t>
  </si>
  <si>
    <t>Casio</t>
  </si>
  <si>
    <t>RIGHT()</t>
  </si>
  <si>
    <t>Create Country coloum using Right function</t>
  </si>
  <si>
    <t>MID()</t>
  </si>
  <si>
    <t>Create Month column using Mid function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</si>
</sst>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0"/>
      <color rgb="FF000000"/>
      <name val="Arial"/>
      <charset val="134"/>
      <scheme val="minor"/>
    </font>
    <font>
      <i/>
      <sz val="10"/>
      <color rgb="FF000000"/>
      <name val="Arial"/>
      <charset val="134"/>
      <scheme val="minor"/>
    </font>
    <font>
      <b/>
      <i/>
      <sz val="10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8" borderId="17" applyNumberFormat="0" applyAlignment="0" applyProtection="0">
      <alignment vertical="center"/>
    </xf>
    <xf numFmtId="0" fontId="19" fillId="8" borderId="16" applyNumberFormat="0" applyAlignment="0" applyProtection="0">
      <alignment vertical="center"/>
    </xf>
    <xf numFmtId="0" fontId="20" fillId="9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31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NumberFormat="1" applyFont="1"/>
    <xf numFmtId="0" fontId="5" fillId="0" borderId="0" xfId="0" applyNumberFormat="1" applyFont="1"/>
    <xf numFmtId="0" fontId="5" fillId="0" borderId="0" xfId="0" applyFont="1"/>
    <xf numFmtId="0" fontId="4" fillId="3" borderId="0" xfId="0" applyFont="1" applyFill="1"/>
    <xf numFmtId="0" fontId="4" fillId="3" borderId="0" xfId="0" applyNumberFormat="1" applyFont="1" applyFill="1"/>
    <xf numFmtId="0" fontId="5" fillId="3" borderId="0" xfId="0" applyNumberFormat="1" applyFont="1" applyFill="1"/>
    <xf numFmtId="0" fontId="5" fillId="3" borderId="0" xfId="0" applyFont="1" applyFill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6" fillId="4" borderId="5" xfId="0" applyFont="1" applyFill="1" applyBorder="1" applyAlignment="1">
      <alignment horizontal="center"/>
    </xf>
    <xf numFmtId="0" fontId="0" fillId="0" borderId="6" xfId="0" applyFont="1" applyBorder="1" applyAlignment="1"/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4" borderId="5" xfId="0" applyFont="1" applyFill="1" applyBorder="1" applyAlignment="1"/>
    <xf numFmtId="0" fontId="7" fillId="0" borderId="5" xfId="0" applyFont="1" applyBorder="1" applyAlignment="1"/>
    <xf numFmtId="0" fontId="0" fillId="0" borderId="5" xfId="0" applyFont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">
    <dxf>
      <font>
        <i val="1"/>
      </font>
    </dxf>
    <dxf>
      <numFmt numFmtId="0" formatCode="General"/>
    </dxf>
    <dxf>
      <numFmt numFmtId="0" formatCode="General"/>
    </dxf>
    <dxf>
      <font>
        <i val="0"/>
      </font>
      <numFmt numFmtId="0" formatCode="General"/>
    </dxf>
    <dxf>
      <font>
        <i val="1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theme="1"/>
      </font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9" tint="0.799981688894314"/>
          <bgColor theme="9" tint="0.799981688894314"/>
        </patternFill>
      </fill>
    </dxf>
    <dxf>
      <fill>
        <patternFill patternType="solid">
          <fgColor theme="9" tint="0.799981688894314"/>
          <bgColor theme="9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9"/>
        </top>
      </border>
    </dxf>
    <dxf>
      <font>
        <b val="1"/>
        <color theme="0"/>
      </font>
      <fill>
        <patternFill patternType="solid">
          <fgColor theme="9"/>
          <bgColor theme="9"/>
        </patternFill>
      </fill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horizontal style="thin">
          <color theme="9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TableStylePreset3_Accent6" pivot="0" count="7" xr9:uid="{05DBA3B5-05AF-4025-9FC3-C76D3AFAB2B7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J35" totalsRowShown="0">
  <autoFilter xmlns:etc="http://www.wps.cn/officeDocument/2017/etCustomData" ref="A1:J35" etc:filterBottomFollowUsedRange="0"/>
  <tableColumns count="10">
    <tableColumn id="1" name="Product ID" dataDxfId="0"/>
    <tableColumn id="9" name="Day" dataDxfId="1">
      <calculatedColumnFormula array="1">LEFT(A2:A34,2)</calculatedColumnFormula>
    </tableColumn>
    <tableColumn id="10" name="Country Code" dataDxfId="2">
      <calculatedColumnFormula>RIGHT(A2,2)</calculatedColumnFormula>
    </tableColumn>
    <tableColumn id="8" name="Month" dataDxfId="3">
      <calculatedColumnFormula>MID(A2,4,3)</calculatedColumnFormula>
    </tableColumn>
    <tableColumn id="2" name="Product Name" dataDxfId="4"/>
    <tableColumn id="3" name="Brand Name"/>
    <tableColumn id="4" name="Price ($)"/>
    <tableColumn id="5" name="Quantity"/>
    <tableColumn id="6" name="Category"/>
    <tableColumn id="7" name="Price Range" dataDxfId="5">
      <calculatedColumnFormula>PROPER(IF(G2&lt;500,"standard","high salary"))</calculatedColumnFormula>
    </tableColumn>
  </tableColumns>
  <tableStyleInfo name="TableStylePreset3_Accent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000"/>
  <sheetViews>
    <sheetView tabSelected="1" zoomScale="69" zoomScaleNormal="69" workbookViewId="0">
      <selection activeCell="O36" sqref="O36"/>
    </sheetView>
  </sheetViews>
  <sheetFormatPr defaultColWidth="12.6339285714286" defaultRowHeight="15" customHeight="1"/>
  <cols>
    <col min="1" max="2" width="12.6339285714286" style="1"/>
    <col min="3" max="3" width="19.1964285714286" style="1" customWidth="1"/>
    <col min="5" max="5" width="19.9375" style="1" customWidth="1"/>
    <col min="6" max="6" width="18.4464285714286" customWidth="1"/>
    <col min="7" max="7" width="17.2589285714286" customWidth="1"/>
    <col min="8" max="8" width="18.8928571428571" customWidth="1"/>
    <col min="9" max="9" width="21.7232142857143" customWidth="1"/>
    <col min="10" max="10" width="15.0178571428571" customWidth="1"/>
    <col min="16" max="16" width="46.2767857142857" customWidth="1"/>
    <col min="17" max="17" width="12.7857142857143"/>
  </cols>
  <sheetData>
    <row r="1" ht="15.75" customHeight="1" spans="1:18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ht="15.75" customHeight="1" spans="1:18">
      <c r="A2" s="5" t="s">
        <v>10</v>
      </c>
      <c r="B2" s="6" t="str">
        <f>LEFT(A2,2)</f>
        <v>28</v>
      </c>
      <c r="C2" s="6" t="str">
        <f t="shared" ref="C2:C35" si="0">RIGHT(A2,2)</f>
        <v>US</v>
      </c>
      <c r="D2" s="7" t="str">
        <f t="shared" ref="D2:D35" si="1">MID(A2,4,3)</f>
        <v>JAN</v>
      </c>
      <c r="E2" s="5" t="s">
        <v>11</v>
      </c>
      <c r="F2" s="8" t="s">
        <v>12</v>
      </c>
      <c r="G2" s="8">
        <v>1000</v>
      </c>
      <c r="H2" s="8">
        <v>30</v>
      </c>
      <c r="I2" s="8" t="s">
        <v>13</v>
      </c>
      <c r="J2" s="7" t="str">
        <f>PROPER(IF(G2&lt;500,"standard","high salary"))</f>
        <v>High Salary</v>
      </c>
    </row>
    <row r="3" ht="15.75" customHeight="1" spans="1:18">
      <c r="A3" s="9" t="s">
        <v>14</v>
      </c>
      <c r="B3" s="10" t="str">
        <f>LEFT(A3,2)</f>
        <v>15</v>
      </c>
      <c r="C3" s="10" t="str">
        <f t="shared" si="0"/>
        <v>US</v>
      </c>
      <c r="D3" s="11" t="str">
        <f t="shared" si="1"/>
        <v>FEB</v>
      </c>
      <c r="E3" s="9" t="s">
        <v>15</v>
      </c>
      <c r="F3" s="12" t="s">
        <v>16</v>
      </c>
      <c r="G3" s="12">
        <v>80</v>
      </c>
      <c r="H3" s="12">
        <v>15</v>
      </c>
      <c r="I3" s="12" t="s">
        <v>17</v>
      </c>
      <c r="J3" s="7" t="str">
        <f t="shared" ref="J3:J35" si="2">PROPER(IF(G3&lt;500,"standard","high salary"))</f>
        <v>Standard</v>
      </c>
    </row>
    <row r="4" ht="15.75" customHeight="1" spans="1:18">
      <c r="A4" s="5" t="s">
        <v>18</v>
      </c>
      <c r="B4" s="10" t="str">
        <f t="shared" ref="B4:B10" si="3">LEFT(A4,2)</f>
        <v>03</v>
      </c>
      <c r="C4" s="6" t="str">
        <f t="shared" si="0"/>
        <v>US</v>
      </c>
      <c r="D4" s="7" t="str">
        <f t="shared" si="1"/>
        <v>MAR</v>
      </c>
      <c r="E4" s="5" t="s">
        <v>19</v>
      </c>
      <c r="F4" s="8" t="s">
        <v>20</v>
      </c>
      <c r="G4" s="8">
        <v>130</v>
      </c>
      <c r="H4" s="8">
        <v>40</v>
      </c>
      <c r="I4" s="8" t="s">
        <v>21</v>
      </c>
      <c r="J4" s="7" t="str">
        <f t="shared" si="2"/>
        <v>Standard</v>
      </c>
    </row>
    <row r="5" ht="15.75" customHeight="1" spans="1:18">
      <c r="A5" s="9" t="s">
        <v>22</v>
      </c>
      <c r="B5" s="10" t="str">
        <f t="shared" si="3"/>
        <v>11</v>
      </c>
      <c r="C5" s="10" t="str">
        <f t="shared" si="0"/>
        <v>US</v>
      </c>
      <c r="D5" s="11" t="str">
        <f t="shared" si="1"/>
        <v>APR</v>
      </c>
      <c r="E5" s="9" t="s">
        <v>23</v>
      </c>
      <c r="F5" s="12" t="s">
        <v>24</v>
      </c>
      <c r="G5" s="12">
        <v>900</v>
      </c>
      <c r="H5" s="12">
        <v>25</v>
      </c>
      <c r="I5" s="12" t="s">
        <v>13</v>
      </c>
      <c r="J5" s="7" t="str">
        <f t="shared" si="2"/>
        <v>High Salary</v>
      </c>
    </row>
    <row r="6" ht="15.75" customHeight="1" spans="1:18">
      <c r="A6" s="5" t="s">
        <v>25</v>
      </c>
      <c r="B6" s="10" t="str">
        <f t="shared" si="3"/>
        <v>22</v>
      </c>
      <c r="C6" s="6" t="str">
        <f t="shared" si="0"/>
        <v>US</v>
      </c>
      <c r="D6" s="7" t="str">
        <f t="shared" si="1"/>
        <v>MAY</v>
      </c>
      <c r="E6" s="5" t="s">
        <v>26</v>
      </c>
      <c r="F6" s="8" t="s">
        <v>27</v>
      </c>
      <c r="G6" s="8">
        <v>70</v>
      </c>
      <c r="H6" s="8">
        <v>20</v>
      </c>
      <c r="I6" s="8" t="s">
        <v>28</v>
      </c>
      <c r="J6" s="7" t="str">
        <f t="shared" si="2"/>
        <v>Standard</v>
      </c>
    </row>
    <row r="7" ht="15.75" customHeight="1" spans="1:18">
      <c r="A7" s="9" t="s">
        <v>29</v>
      </c>
      <c r="B7" s="10" t="str">
        <f t="shared" si="3"/>
        <v>07</v>
      </c>
      <c r="C7" s="10" t="str">
        <f t="shared" si="0"/>
        <v>UK</v>
      </c>
      <c r="D7" s="11" t="str">
        <f t="shared" si="1"/>
        <v>JUN</v>
      </c>
      <c r="E7" s="9" t="s">
        <v>30</v>
      </c>
      <c r="F7" s="12" t="s">
        <v>31</v>
      </c>
      <c r="G7" s="12">
        <v>200</v>
      </c>
      <c r="H7" s="12">
        <v>45</v>
      </c>
      <c r="I7" s="12" t="s">
        <v>13</v>
      </c>
      <c r="J7" s="7" t="str">
        <f t="shared" si="2"/>
        <v>Standard</v>
      </c>
    </row>
    <row r="8" ht="15.75" customHeight="1" spans="1:18">
      <c r="A8" s="5" t="s">
        <v>32</v>
      </c>
      <c r="B8" s="10" t="str">
        <f t="shared" si="3"/>
        <v>19</v>
      </c>
      <c r="C8" s="6" t="str">
        <f t="shared" si="0"/>
        <v>UK</v>
      </c>
      <c r="D8" s="7" t="str">
        <f t="shared" si="1"/>
        <v>JUL</v>
      </c>
      <c r="E8" s="5" t="s">
        <v>33</v>
      </c>
      <c r="F8" s="8" t="s">
        <v>34</v>
      </c>
      <c r="G8" s="8">
        <v>30</v>
      </c>
      <c r="H8" s="8">
        <v>5</v>
      </c>
      <c r="I8" s="8" t="s">
        <v>17</v>
      </c>
      <c r="J8" s="7" t="str">
        <f t="shared" si="2"/>
        <v>Standard</v>
      </c>
      <c r="N8" s="13"/>
      <c r="O8" s="14"/>
      <c r="P8" s="14"/>
      <c r="Q8" s="14"/>
      <c r="R8" s="15"/>
    </row>
    <row r="9" ht="15.75" customHeight="1" spans="1:18">
      <c r="A9" s="9" t="s">
        <v>35</v>
      </c>
      <c r="B9" s="10" t="str">
        <f t="shared" si="3"/>
        <v>23</v>
      </c>
      <c r="C9" s="10" t="str">
        <f t="shared" si="0"/>
        <v>UK</v>
      </c>
      <c r="D9" s="11" t="str">
        <f t="shared" si="1"/>
        <v>AUG</v>
      </c>
      <c r="E9" s="9" t="s">
        <v>36</v>
      </c>
      <c r="F9" s="12" t="s">
        <v>37</v>
      </c>
      <c r="G9" s="12">
        <v>90</v>
      </c>
      <c r="H9" s="12">
        <v>35</v>
      </c>
      <c r="I9" s="12" t="s">
        <v>21</v>
      </c>
      <c r="J9" s="7" t="str">
        <f t="shared" si="2"/>
        <v>Standard</v>
      </c>
      <c r="N9" s="16"/>
      <c r="O9" s="17"/>
      <c r="P9" s="18" t="s">
        <v>38</v>
      </c>
      <c r="Q9" s="17"/>
      <c r="R9" s="19"/>
    </row>
    <row r="10" ht="15.75" customHeight="1" spans="1:18">
      <c r="A10" s="5" t="s">
        <v>39</v>
      </c>
      <c r="B10" s="10" t="str">
        <f t="shared" si="3"/>
        <v>05</v>
      </c>
      <c r="C10" s="6" t="str">
        <f t="shared" si="0"/>
        <v>UK</v>
      </c>
      <c r="D10" s="7" t="str">
        <f t="shared" si="1"/>
        <v>SEP</v>
      </c>
      <c r="E10" s="5" t="s">
        <v>40</v>
      </c>
      <c r="F10" s="8" t="s">
        <v>41</v>
      </c>
      <c r="G10" s="8">
        <v>500</v>
      </c>
      <c r="H10" s="8">
        <v>50</v>
      </c>
      <c r="I10" s="8" t="s">
        <v>13</v>
      </c>
      <c r="J10" s="7" t="str">
        <f t="shared" si="2"/>
        <v>High Salary</v>
      </c>
      <c r="N10" s="16"/>
      <c r="O10" s="17"/>
      <c r="P10" s="17"/>
      <c r="Q10" s="17"/>
      <c r="R10" s="19"/>
    </row>
    <row r="11" ht="15.75" customHeight="1" spans="1:18">
      <c r="A11" s="9" t="s">
        <v>42</v>
      </c>
      <c r="B11" s="10" t="str">
        <f t="shared" ref="B11:B35" si="4">LEFT(A11,2)</f>
        <v>14</v>
      </c>
      <c r="C11" s="10" t="str">
        <f t="shared" si="0"/>
        <v>UK</v>
      </c>
      <c r="D11" s="11" t="str">
        <f t="shared" si="1"/>
        <v>OCT</v>
      </c>
      <c r="E11" s="9" t="s">
        <v>43</v>
      </c>
      <c r="F11" s="12" t="s">
        <v>44</v>
      </c>
      <c r="G11" s="12">
        <v>130</v>
      </c>
      <c r="H11" s="12">
        <v>10</v>
      </c>
      <c r="I11" s="12" t="s">
        <v>28</v>
      </c>
      <c r="J11" s="7" t="str">
        <f t="shared" si="2"/>
        <v>Standard</v>
      </c>
      <c r="N11" s="16"/>
      <c r="O11" s="20" t="s">
        <v>45</v>
      </c>
      <c r="P11" s="21"/>
      <c r="Q11" s="22"/>
      <c r="R11" s="23"/>
    </row>
    <row r="12" ht="15.75" customHeight="1" spans="1:18">
      <c r="A12" s="5" t="s">
        <v>46</v>
      </c>
      <c r="B12" s="10" t="str">
        <f t="shared" si="4"/>
        <v>17</v>
      </c>
      <c r="C12" s="6" t="str">
        <f t="shared" si="0"/>
        <v>IN</v>
      </c>
      <c r="D12" s="7" t="str">
        <f t="shared" si="1"/>
        <v>JUN</v>
      </c>
      <c r="E12" s="5" t="s">
        <v>11</v>
      </c>
      <c r="F12" s="8" t="s">
        <v>47</v>
      </c>
      <c r="G12" s="8">
        <v>950</v>
      </c>
      <c r="H12" s="8">
        <v>25</v>
      </c>
      <c r="I12" s="8" t="s">
        <v>13</v>
      </c>
      <c r="J12" s="7" t="str">
        <f t="shared" si="2"/>
        <v>High Salary</v>
      </c>
      <c r="N12" s="16"/>
      <c r="O12" s="24" t="s">
        <v>48</v>
      </c>
      <c r="P12" s="24" t="s">
        <v>49</v>
      </c>
      <c r="Q12" s="24" t="s">
        <v>50</v>
      </c>
      <c r="R12" s="19"/>
    </row>
    <row r="13" ht="15.75" customHeight="1" spans="1:18">
      <c r="A13" s="9" t="s">
        <v>51</v>
      </c>
      <c r="B13" s="10" t="str">
        <f t="shared" si="4"/>
        <v>25</v>
      </c>
      <c r="C13" s="10" t="str">
        <f t="shared" si="0"/>
        <v>AU</v>
      </c>
      <c r="D13" s="11" t="str">
        <f t="shared" si="1"/>
        <v>NOV</v>
      </c>
      <c r="E13" s="9" t="s">
        <v>15</v>
      </c>
      <c r="F13" s="12" t="s">
        <v>34</v>
      </c>
      <c r="G13" s="12">
        <v>90</v>
      </c>
      <c r="H13" s="12">
        <v>40</v>
      </c>
      <c r="I13" s="12" t="s">
        <v>17</v>
      </c>
      <c r="J13" s="7" t="str">
        <f t="shared" si="2"/>
        <v>Standard</v>
      </c>
      <c r="N13" s="16"/>
      <c r="O13" s="25" t="s">
        <v>52</v>
      </c>
      <c r="P13" s="17" t="s">
        <v>53</v>
      </c>
      <c r="Q13" s="26">
        <f>SUM(G2:G35)</f>
        <v>10100</v>
      </c>
      <c r="R13" s="19"/>
    </row>
    <row r="14" ht="15.75" customHeight="1" spans="1:18">
      <c r="A14" s="5" t="s">
        <v>54</v>
      </c>
      <c r="B14" s="10" t="str">
        <f t="shared" si="4"/>
        <v>08</v>
      </c>
      <c r="C14" s="6" t="str">
        <f t="shared" si="0"/>
        <v>DE</v>
      </c>
      <c r="D14" s="7" t="str">
        <f t="shared" si="1"/>
        <v>DEC</v>
      </c>
      <c r="E14" s="5" t="s">
        <v>19</v>
      </c>
      <c r="F14" s="8" t="s">
        <v>55</v>
      </c>
      <c r="G14" s="8">
        <v>120</v>
      </c>
      <c r="H14" s="8">
        <v>35</v>
      </c>
      <c r="I14" s="8" t="s">
        <v>21</v>
      </c>
      <c r="J14" s="7" t="str">
        <f t="shared" si="2"/>
        <v>Standard</v>
      </c>
      <c r="N14" s="16"/>
      <c r="O14" s="25" t="s">
        <v>56</v>
      </c>
      <c r="P14" s="17" t="s">
        <v>57</v>
      </c>
      <c r="Q14" s="26">
        <f>COUNTA(E2:E35)</f>
        <v>34</v>
      </c>
      <c r="R14" s="19"/>
    </row>
    <row r="15" ht="15.75" customHeight="1" spans="1:18">
      <c r="A15" s="9" t="s">
        <v>58</v>
      </c>
      <c r="B15" s="10" t="str">
        <f t="shared" si="4"/>
        <v>18</v>
      </c>
      <c r="C15" s="10" t="str">
        <f t="shared" si="0"/>
        <v>CA</v>
      </c>
      <c r="D15" s="11" t="str">
        <f t="shared" si="1"/>
        <v>FEB</v>
      </c>
      <c r="E15" s="9" t="s">
        <v>59</v>
      </c>
      <c r="F15" s="12" t="s">
        <v>60</v>
      </c>
      <c r="G15" s="12">
        <v>150</v>
      </c>
      <c r="H15" s="12">
        <v>15</v>
      </c>
      <c r="I15" s="12" t="s">
        <v>13</v>
      </c>
      <c r="J15" s="7" t="str">
        <f t="shared" si="2"/>
        <v>Standard</v>
      </c>
      <c r="N15" s="16"/>
      <c r="O15" s="25" t="s">
        <v>61</v>
      </c>
      <c r="P15" s="17" t="s">
        <v>62</v>
      </c>
      <c r="Q15" s="26">
        <f>AVERAGE(G2:G35)</f>
        <v>297.058823529412</v>
      </c>
      <c r="R15" s="19"/>
    </row>
    <row r="16" ht="15.75" customHeight="1" spans="1:18">
      <c r="A16" s="5" t="s">
        <v>63</v>
      </c>
      <c r="B16" s="10" t="str">
        <f t="shared" si="4"/>
        <v>16</v>
      </c>
      <c r="C16" s="6" t="str">
        <f t="shared" si="0"/>
        <v>ES</v>
      </c>
      <c r="D16" s="7" t="str">
        <f t="shared" si="1"/>
        <v>APR</v>
      </c>
      <c r="E16" s="5" t="s">
        <v>30</v>
      </c>
      <c r="F16" s="8" t="s">
        <v>64</v>
      </c>
      <c r="G16" s="8">
        <v>250</v>
      </c>
      <c r="H16" s="8">
        <v>20</v>
      </c>
      <c r="I16" s="8" t="s">
        <v>13</v>
      </c>
      <c r="J16" s="7" t="str">
        <f t="shared" si="2"/>
        <v>Standard</v>
      </c>
      <c r="N16" s="16"/>
      <c r="O16" s="17"/>
      <c r="P16" s="17"/>
      <c r="Q16" s="17"/>
      <c r="R16" s="19"/>
    </row>
    <row r="17" ht="15.75" customHeight="1" spans="1:18">
      <c r="A17" s="9" t="s">
        <v>65</v>
      </c>
      <c r="B17" s="10" t="str">
        <f t="shared" si="4"/>
        <v>21</v>
      </c>
      <c r="C17" s="10" t="str">
        <f t="shared" si="0"/>
        <v>CA</v>
      </c>
      <c r="D17" s="11" t="str">
        <f t="shared" si="1"/>
        <v>AUG</v>
      </c>
      <c r="E17" s="9" t="s">
        <v>66</v>
      </c>
      <c r="F17" s="12" t="s">
        <v>67</v>
      </c>
      <c r="G17" s="12">
        <v>50</v>
      </c>
      <c r="H17" s="12">
        <v>35</v>
      </c>
      <c r="I17" s="12" t="s">
        <v>68</v>
      </c>
      <c r="J17" s="7" t="str">
        <f t="shared" si="2"/>
        <v>Standard</v>
      </c>
      <c r="N17" s="16"/>
      <c r="O17" s="27" t="s">
        <v>69</v>
      </c>
      <c r="P17" s="27"/>
      <c r="Q17" s="27"/>
      <c r="R17" s="19"/>
    </row>
    <row r="18" ht="15.75" customHeight="1" spans="1:18">
      <c r="A18" s="5" t="s">
        <v>70</v>
      </c>
      <c r="B18" s="10" t="str">
        <f t="shared" si="4"/>
        <v>20</v>
      </c>
      <c r="C18" s="6" t="str">
        <f t="shared" si="0"/>
        <v>CN</v>
      </c>
      <c r="D18" s="7" t="str">
        <f t="shared" si="1"/>
        <v>AUG</v>
      </c>
      <c r="E18" s="5" t="s">
        <v>59</v>
      </c>
      <c r="F18" s="8" t="s">
        <v>71</v>
      </c>
      <c r="G18" s="8">
        <v>160</v>
      </c>
      <c r="H18" s="8">
        <v>15</v>
      </c>
      <c r="I18" s="8" t="s">
        <v>13</v>
      </c>
      <c r="J18" s="7" t="str">
        <f t="shared" si="2"/>
        <v>Standard</v>
      </c>
      <c r="N18" s="16"/>
      <c r="O18" s="24" t="s">
        <v>48</v>
      </c>
      <c r="P18" s="24" t="s">
        <v>49</v>
      </c>
      <c r="Q18" s="24" t="s">
        <v>50</v>
      </c>
      <c r="R18" s="19"/>
    </row>
    <row r="19" ht="15.75" customHeight="1" spans="1:18">
      <c r="A19" s="9" t="s">
        <v>72</v>
      </c>
      <c r="B19" s="10" t="str">
        <f t="shared" si="4"/>
        <v>27</v>
      </c>
      <c r="C19" s="10" t="str">
        <f t="shared" si="0"/>
        <v>IT</v>
      </c>
      <c r="D19" s="11" t="str">
        <f t="shared" si="1"/>
        <v>JAN</v>
      </c>
      <c r="E19" s="9" t="s">
        <v>11</v>
      </c>
      <c r="F19" s="12" t="s">
        <v>73</v>
      </c>
      <c r="G19" s="12">
        <v>980</v>
      </c>
      <c r="H19" s="12">
        <v>10</v>
      </c>
      <c r="I19" s="12" t="s">
        <v>13</v>
      </c>
      <c r="J19" s="7" t="str">
        <f t="shared" si="2"/>
        <v>High Salary</v>
      </c>
      <c r="N19" s="16"/>
      <c r="O19" s="25" t="s">
        <v>74</v>
      </c>
      <c r="P19" s="17" t="s">
        <v>75</v>
      </c>
      <c r="Q19" s="26">
        <f>MIN(G2:G35)</f>
        <v>30</v>
      </c>
      <c r="R19" s="19"/>
    </row>
    <row r="20" ht="15.75" customHeight="1" spans="1:18">
      <c r="A20" s="5" t="s">
        <v>76</v>
      </c>
      <c r="B20" s="10" t="str">
        <f t="shared" si="4"/>
        <v>01</v>
      </c>
      <c r="C20" s="6" t="str">
        <f t="shared" si="0"/>
        <v>UK</v>
      </c>
      <c r="D20" s="7" t="str">
        <f t="shared" si="1"/>
        <v>MAR</v>
      </c>
      <c r="E20" s="5" t="s">
        <v>77</v>
      </c>
      <c r="F20" s="8" t="s">
        <v>78</v>
      </c>
      <c r="G20" s="8">
        <v>150</v>
      </c>
      <c r="H20" s="8">
        <v>15</v>
      </c>
      <c r="I20" s="8" t="s">
        <v>17</v>
      </c>
      <c r="J20" s="7" t="str">
        <f t="shared" si="2"/>
        <v>Standard</v>
      </c>
      <c r="N20" s="16"/>
      <c r="O20" s="25" t="s">
        <v>79</v>
      </c>
      <c r="P20" s="17" t="s">
        <v>80</v>
      </c>
      <c r="Q20" s="26">
        <f>MAX(G2:G35)</f>
        <v>1000</v>
      </c>
      <c r="R20" s="19"/>
    </row>
    <row r="21" ht="15.75" customHeight="1" spans="1:18">
      <c r="A21" s="9" t="s">
        <v>81</v>
      </c>
      <c r="B21" s="10" t="str">
        <f t="shared" si="4"/>
        <v>14</v>
      </c>
      <c r="C21" s="10" t="str">
        <f t="shared" si="0"/>
        <v>US</v>
      </c>
      <c r="D21" s="11" t="str">
        <f t="shared" si="1"/>
        <v>AUG</v>
      </c>
      <c r="E21" s="9" t="s">
        <v>82</v>
      </c>
      <c r="F21" s="12" t="s">
        <v>83</v>
      </c>
      <c r="G21" s="12">
        <v>200</v>
      </c>
      <c r="H21" s="12">
        <v>10</v>
      </c>
      <c r="I21" s="12" t="s">
        <v>28</v>
      </c>
      <c r="J21" s="7" t="str">
        <f t="shared" si="2"/>
        <v>Standard</v>
      </c>
      <c r="N21" s="16"/>
      <c r="O21" s="17"/>
      <c r="P21" s="17"/>
      <c r="Q21" s="17"/>
      <c r="R21" s="19"/>
    </row>
    <row r="22" ht="15.75" customHeight="1" spans="1:18">
      <c r="A22" s="5" t="s">
        <v>84</v>
      </c>
      <c r="B22" s="10" t="str">
        <f t="shared" si="4"/>
        <v>14</v>
      </c>
      <c r="C22" s="6" t="str">
        <f t="shared" si="0"/>
        <v>RU</v>
      </c>
      <c r="D22" s="7" t="str">
        <f t="shared" si="1"/>
        <v>MAY</v>
      </c>
      <c r="E22" s="5" t="s">
        <v>85</v>
      </c>
      <c r="F22" s="8" t="s">
        <v>86</v>
      </c>
      <c r="G22" s="8">
        <v>700</v>
      </c>
      <c r="H22" s="8">
        <v>50</v>
      </c>
      <c r="I22" s="8" t="s">
        <v>13</v>
      </c>
      <c r="J22" s="7" t="str">
        <f t="shared" si="2"/>
        <v>High Salary</v>
      </c>
      <c r="N22" s="16"/>
      <c r="O22" s="27" t="s">
        <v>87</v>
      </c>
      <c r="P22" s="27"/>
      <c r="Q22" s="27"/>
      <c r="R22" s="19"/>
    </row>
    <row r="23" ht="15.75" customHeight="1" spans="1:18">
      <c r="A23" s="9" t="s">
        <v>88</v>
      </c>
      <c r="B23" s="10" t="str">
        <f t="shared" si="4"/>
        <v>09</v>
      </c>
      <c r="C23" s="10" t="str">
        <f t="shared" si="0"/>
        <v>CA</v>
      </c>
      <c r="D23" s="11" t="str">
        <f t="shared" si="1"/>
        <v>JAN</v>
      </c>
      <c r="E23" s="9" t="s">
        <v>89</v>
      </c>
      <c r="F23" s="12" t="s">
        <v>90</v>
      </c>
      <c r="G23" s="12">
        <v>80</v>
      </c>
      <c r="H23" s="12">
        <v>20</v>
      </c>
      <c r="I23" s="12" t="s">
        <v>21</v>
      </c>
      <c r="J23" s="7" t="str">
        <f t="shared" si="2"/>
        <v>Standard</v>
      </c>
      <c r="N23" s="16"/>
      <c r="O23" s="24" t="s">
        <v>48</v>
      </c>
      <c r="P23" s="24" t="s">
        <v>49</v>
      </c>
      <c r="Q23" s="24" t="s">
        <v>50</v>
      </c>
      <c r="R23" s="19"/>
    </row>
    <row r="24" ht="15.75" customHeight="1" spans="1:18">
      <c r="A24" s="5" t="s">
        <v>91</v>
      </c>
      <c r="B24" s="10" t="str">
        <f t="shared" si="4"/>
        <v>19</v>
      </c>
      <c r="C24" s="6" t="str">
        <f t="shared" si="0"/>
        <v>BR</v>
      </c>
      <c r="D24" s="7" t="str">
        <f t="shared" si="1"/>
        <v>JUL</v>
      </c>
      <c r="E24" s="5" t="s">
        <v>92</v>
      </c>
      <c r="F24" s="8" t="s">
        <v>93</v>
      </c>
      <c r="G24" s="8">
        <v>150</v>
      </c>
      <c r="H24" s="8">
        <v>30</v>
      </c>
      <c r="I24" s="8" t="s">
        <v>13</v>
      </c>
      <c r="J24" s="7" t="str">
        <f t="shared" si="2"/>
        <v>Standard</v>
      </c>
      <c r="N24" s="16"/>
      <c r="O24" s="25" t="s">
        <v>94</v>
      </c>
      <c r="P24" s="17" t="s">
        <v>95</v>
      </c>
      <c r="Q24" s="17" t="str">
        <f>IF(G2&gt;500,"high price","standard price")</f>
        <v>high price</v>
      </c>
      <c r="R24" s="19"/>
    </row>
    <row r="25" ht="15.75" customHeight="1" spans="1:18">
      <c r="A25" s="9" t="s">
        <v>65</v>
      </c>
      <c r="B25" s="10" t="str">
        <f t="shared" si="4"/>
        <v>21</v>
      </c>
      <c r="C25" s="10" t="str">
        <f t="shared" si="0"/>
        <v>CA</v>
      </c>
      <c r="D25" s="11" t="str">
        <f t="shared" si="1"/>
        <v>AUG</v>
      </c>
      <c r="E25" s="9" t="s">
        <v>66</v>
      </c>
      <c r="F25" s="12" t="s">
        <v>67</v>
      </c>
      <c r="G25" s="12">
        <v>50</v>
      </c>
      <c r="H25" s="12">
        <v>35</v>
      </c>
      <c r="I25" s="12" t="s">
        <v>68</v>
      </c>
      <c r="J25" s="7" t="str">
        <f t="shared" si="2"/>
        <v>Standard</v>
      </c>
      <c r="N25" s="16"/>
      <c r="O25" s="25" t="s">
        <v>94</v>
      </c>
      <c r="P25" s="17" t="s">
        <v>96</v>
      </c>
      <c r="Q25" s="17" t="s">
        <v>97</v>
      </c>
      <c r="R25" s="19"/>
    </row>
    <row r="26" ht="15.75" customHeight="1" spans="1:18">
      <c r="A26" s="5" t="s">
        <v>98</v>
      </c>
      <c r="B26" s="10" t="str">
        <f t="shared" si="4"/>
        <v>29</v>
      </c>
      <c r="C26" s="6" t="str">
        <f t="shared" si="0"/>
        <v>CA</v>
      </c>
      <c r="D26" s="7" t="str">
        <f t="shared" si="1"/>
        <v>SEP</v>
      </c>
      <c r="E26" s="5" t="s">
        <v>23</v>
      </c>
      <c r="F26" s="8" t="s">
        <v>99</v>
      </c>
      <c r="G26" s="8">
        <v>800</v>
      </c>
      <c r="H26" s="8">
        <v>45</v>
      </c>
      <c r="I26" s="8" t="s">
        <v>13</v>
      </c>
      <c r="J26" s="7" t="str">
        <f t="shared" si="2"/>
        <v>High Salary</v>
      </c>
      <c r="N26" s="16"/>
      <c r="O26" s="17"/>
      <c r="P26" s="17"/>
      <c r="Q26" s="17"/>
      <c r="R26" s="19"/>
    </row>
    <row r="27" ht="15.75" customHeight="1" spans="1:18">
      <c r="A27" s="9" t="s">
        <v>100</v>
      </c>
      <c r="B27" s="10" t="str">
        <f t="shared" si="4"/>
        <v>03</v>
      </c>
      <c r="C27" s="10" t="str">
        <f t="shared" si="0"/>
        <v>CA</v>
      </c>
      <c r="D27" s="11" t="str">
        <f t="shared" si="1"/>
        <v>JUN</v>
      </c>
      <c r="E27" s="9" t="s">
        <v>77</v>
      </c>
      <c r="F27" s="12" t="s">
        <v>101</v>
      </c>
      <c r="G27" s="12">
        <v>130</v>
      </c>
      <c r="H27" s="12">
        <v>25</v>
      </c>
      <c r="I27" s="12" t="s">
        <v>17</v>
      </c>
      <c r="J27" s="7" t="str">
        <f t="shared" si="2"/>
        <v>Standard</v>
      </c>
      <c r="N27" s="16"/>
      <c r="O27" s="27" t="s">
        <v>102</v>
      </c>
      <c r="P27" s="27"/>
      <c r="Q27" s="27"/>
      <c r="R27" s="19"/>
    </row>
    <row r="28" ht="15.75" customHeight="1" spans="1:18">
      <c r="A28" s="5" t="s">
        <v>103</v>
      </c>
      <c r="B28" s="10" t="str">
        <f t="shared" si="4"/>
        <v>11</v>
      </c>
      <c r="C28" s="6" t="str">
        <f t="shared" si="0"/>
        <v>CA</v>
      </c>
      <c r="D28" s="7" t="str">
        <f t="shared" si="1"/>
        <v>JUL</v>
      </c>
      <c r="E28" s="5" t="s">
        <v>36</v>
      </c>
      <c r="F28" s="8" t="s">
        <v>104</v>
      </c>
      <c r="G28" s="8">
        <v>400</v>
      </c>
      <c r="H28" s="8">
        <v>40</v>
      </c>
      <c r="I28" s="8" t="s">
        <v>21</v>
      </c>
      <c r="J28" s="7" t="str">
        <f t="shared" si="2"/>
        <v>Standard</v>
      </c>
      <c r="N28" s="16"/>
      <c r="O28" s="24" t="s">
        <v>48</v>
      </c>
      <c r="P28" s="24" t="s">
        <v>49</v>
      </c>
      <c r="Q28" s="24" t="s">
        <v>50</v>
      </c>
      <c r="R28" s="19"/>
    </row>
    <row r="29" ht="15.75" customHeight="1" spans="1:18">
      <c r="A29" s="9" t="s">
        <v>63</v>
      </c>
      <c r="B29" s="10" t="str">
        <f t="shared" si="4"/>
        <v>16</v>
      </c>
      <c r="C29" s="10" t="str">
        <f t="shared" si="0"/>
        <v>ES</v>
      </c>
      <c r="D29" s="11" t="str">
        <f t="shared" si="1"/>
        <v>APR</v>
      </c>
      <c r="E29" s="9" t="s">
        <v>30</v>
      </c>
      <c r="F29" s="12" t="s">
        <v>64</v>
      </c>
      <c r="G29" s="12">
        <v>230</v>
      </c>
      <c r="H29" s="12">
        <v>20</v>
      </c>
      <c r="I29" s="12" t="s">
        <v>13</v>
      </c>
      <c r="J29" s="7" t="str">
        <f t="shared" si="2"/>
        <v>Standard</v>
      </c>
      <c r="N29" s="16"/>
      <c r="O29" s="25" t="s">
        <v>105</v>
      </c>
      <c r="P29" s="17" t="s">
        <v>106</v>
      </c>
      <c r="Q29" s="26">
        <f>SUMIF(I2:I35,"electronics",G2:G35)</f>
        <v>8050</v>
      </c>
      <c r="R29" s="19"/>
    </row>
    <row r="30" ht="15.75" customHeight="1" spans="1:18">
      <c r="A30" s="5" t="s">
        <v>107</v>
      </c>
      <c r="B30" s="10" t="str">
        <f t="shared" si="4"/>
        <v>07</v>
      </c>
      <c r="C30" s="6" t="str">
        <f t="shared" si="0"/>
        <v>CA</v>
      </c>
      <c r="D30" s="7" t="str">
        <f t="shared" si="1"/>
        <v>MAR</v>
      </c>
      <c r="E30" s="5" t="s">
        <v>108</v>
      </c>
      <c r="F30" s="8" t="s">
        <v>109</v>
      </c>
      <c r="G30" s="8">
        <v>60</v>
      </c>
      <c r="H30" s="8">
        <v>30</v>
      </c>
      <c r="I30" s="8" t="s">
        <v>17</v>
      </c>
      <c r="J30" s="7" t="str">
        <f t="shared" si="2"/>
        <v>Standard</v>
      </c>
      <c r="N30" s="16"/>
      <c r="O30" s="25" t="s">
        <v>110</v>
      </c>
      <c r="P30" s="17" t="s">
        <v>111</v>
      </c>
      <c r="Q30" s="26">
        <f>COUNTIF(G2:G35,"&lt;100")</f>
        <v>11</v>
      </c>
      <c r="R30" s="19"/>
    </row>
    <row r="31" ht="15.75" customHeight="1" spans="1:18">
      <c r="A31" s="9" t="s">
        <v>112</v>
      </c>
      <c r="B31" s="10" t="str">
        <f t="shared" si="4"/>
        <v>13</v>
      </c>
      <c r="C31" s="10" t="str">
        <f t="shared" si="0"/>
        <v>CA</v>
      </c>
      <c r="D31" s="11" t="str">
        <f t="shared" si="1"/>
        <v>APR</v>
      </c>
      <c r="E31" s="9" t="s">
        <v>113</v>
      </c>
      <c r="F31" s="12" t="s">
        <v>114</v>
      </c>
      <c r="G31" s="12">
        <v>40</v>
      </c>
      <c r="H31" s="12">
        <v>10</v>
      </c>
      <c r="I31" s="12" t="s">
        <v>21</v>
      </c>
      <c r="J31" s="7" t="str">
        <f t="shared" si="2"/>
        <v>Standard</v>
      </c>
      <c r="N31" s="16"/>
      <c r="O31" s="17"/>
      <c r="P31" s="17"/>
      <c r="Q31" s="17"/>
      <c r="R31" s="19"/>
    </row>
    <row r="32" ht="15.75" customHeight="1" spans="1:18">
      <c r="A32" s="5" t="s">
        <v>115</v>
      </c>
      <c r="B32" s="10" t="str">
        <f t="shared" si="4"/>
        <v>24</v>
      </c>
      <c r="C32" s="6" t="str">
        <f t="shared" si="0"/>
        <v>CA</v>
      </c>
      <c r="D32" s="7" t="str">
        <f t="shared" si="1"/>
        <v>MAY</v>
      </c>
      <c r="E32" s="5" t="s">
        <v>92</v>
      </c>
      <c r="F32" s="8" t="s">
        <v>116</v>
      </c>
      <c r="G32" s="8">
        <v>130</v>
      </c>
      <c r="H32" s="8">
        <v>5</v>
      </c>
      <c r="I32" s="8" t="s">
        <v>13</v>
      </c>
      <c r="J32" s="7" t="str">
        <f t="shared" si="2"/>
        <v>Standard</v>
      </c>
      <c r="N32" s="16"/>
      <c r="O32" s="27" t="s">
        <v>117</v>
      </c>
      <c r="P32" s="27"/>
      <c r="Q32" s="27"/>
      <c r="R32" s="19"/>
    </row>
    <row r="33" ht="15.75" customHeight="1" spans="1:18">
      <c r="A33" s="9" t="s">
        <v>118</v>
      </c>
      <c r="B33" s="10" t="str">
        <f t="shared" si="4"/>
        <v>02</v>
      </c>
      <c r="C33" s="10" t="str">
        <f t="shared" si="0"/>
        <v>CA</v>
      </c>
      <c r="D33" s="11" t="str">
        <f t="shared" si="1"/>
        <v>DEC</v>
      </c>
      <c r="E33" s="9" t="s">
        <v>119</v>
      </c>
      <c r="F33" s="12" t="s">
        <v>120</v>
      </c>
      <c r="G33" s="12">
        <v>50</v>
      </c>
      <c r="H33" s="12">
        <v>50</v>
      </c>
      <c r="I33" s="12" t="s">
        <v>17</v>
      </c>
      <c r="J33" s="7" t="str">
        <f t="shared" si="2"/>
        <v>Standard</v>
      </c>
      <c r="N33" s="16"/>
      <c r="O33" s="24" t="s">
        <v>48</v>
      </c>
      <c r="P33" s="24" t="s">
        <v>49</v>
      </c>
      <c r="Q33" s="24" t="s">
        <v>50</v>
      </c>
      <c r="R33" s="19"/>
    </row>
    <row r="34" ht="15.75" customHeight="1" spans="1:18">
      <c r="A34" s="5" t="s">
        <v>46</v>
      </c>
      <c r="B34" s="10" t="str">
        <f t="shared" si="4"/>
        <v>17</v>
      </c>
      <c r="C34" s="6" t="str">
        <f t="shared" si="0"/>
        <v>IN</v>
      </c>
      <c r="D34" s="7" t="str">
        <f t="shared" si="1"/>
        <v>JUN</v>
      </c>
      <c r="E34" s="5" t="s">
        <v>11</v>
      </c>
      <c r="F34" s="8" t="s">
        <v>47</v>
      </c>
      <c r="G34" s="8">
        <v>950</v>
      </c>
      <c r="H34" s="8">
        <v>25</v>
      </c>
      <c r="I34" s="8" t="s">
        <v>13</v>
      </c>
      <c r="J34" s="7" t="str">
        <f t="shared" si="2"/>
        <v>High Salary</v>
      </c>
      <c r="N34" s="16"/>
      <c r="O34" s="25" t="s">
        <v>121</v>
      </c>
      <c r="P34" s="17" t="s">
        <v>122</v>
      </c>
      <c r="Q34" s="26" t="str">
        <f>LEFT(A2,2)</f>
        <v>28</v>
      </c>
      <c r="R34" s="19"/>
    </row>
    <row r="35" ht="15.75" customHeight="1" spans="1:18">
      <c r="A35" s="9" t="s">
        <v>123</v>
      </c>
      <c r="B35" s="10" t="str">
        <f t="shared" si="4"/>
        <v>09</v>
      </c>
      <c r="C35" s="10" t="str">
        <f t="shared" si="0"/>
        <v>FR</v>
      </c>
      <c r="D35" s="11" t="str">
        <f t="shared" si="1"/>
        <v>JUL</v>
      </c>
      <c r="E35" s="9" t="s">
        <v>124</v>
      </c>
      <c r="F35" s="12" t="s">
        <v>125</v>
      </c>
      <c r="G35" s="12">
        <v>100</v>
      </c>
      <c r="H35" s="12">
        <v>20</v>
      </c>
      <c r="I35" s="12" t="s">
        <v>68</v>
      </c>
      <c r="J35" s="7" t="str">
        <f t="shared" si="2"/>
        <v>Standard</v>
      </c>
      <c r="N35" s="16"/>
      <c r="O35" s="25" t="s">
        <v>126</v>
      </c>
      <c r="P35" s="17" t="s">
        <v>127</v>
      </c>
      <c r="Q35" s="26" t="str">
        <f>RIGHT(A2,2)</f>
        <v>US</v>
      </c>
      <c r="R35" s="19"/>
    </row>
    <row r="36" ht="15.75" customHeight="1" spans="1:18">
      <c r="N36" s="16"/>
      <c r="O36" s="25" t="s">
        <v>128</v>
      </c>
      <c r="P36" s="17" t="s">
        <v>129</v>
      </c>
      <c r="Q36" s="26" t="str">
        <f>MID(A2,4,3)</f>
        <v>JAN</v>
      </c>
      <c r="R36" s="19"/>
    </row>
    <row r="37" ht="15.75" customHeight="1" spans="1:18">
      <c r="N37" s="28"/>
      <c r="O37" s="29"/>
      <c r="P37" s="29"/>
      <c r="Q37" s="29"/>
      <c r="R37" s="30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O11:Q11"/>
    <mergeCell ref="O17:Q17"/>
    <mergeCell ref="O22:Q22"/>
    <mergeCell ref="O27:Q27"/>
    <mergeCell ref="O32:Q32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WPS_1779280916</cp:lastModifiedBy>
  <dcterms:created xsi:type="dcterms:W3CDTF">2026-05-22T21:28:42Z</dcterms:created>
  <dcterms:modified xsi:type="dcterms:W3CDTF">2026-05-24T19:19:07Z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1033-12.1.25880.25880</vt:lpwstr>
  </property>
  <property fmtid="{D5CDD505-2E9C-101B-9397-08002B2CF9AE}" pid="3" name="CalculationRule">
    <vt:i4>0</vt:i4>
  </property>
  <property fmtid="{D5CDD505-2E9C-101B-9397-08002B2CF9AE}" pid="4" name="ICV">
    <vt:lpwstr>DCCF677B505055E6D301136A4326D02E_43</vt:lpwstr>
  </property>
</Properties>
</file>